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Despesas Dedutíveis" sheetId="4" state="visible" r:id="rId4"/>
    <sheet xmlns:r="http://schemas.openxmlformats.org/officeDocument/2006/relationships" name="Bens e Direitos" sheetId="5" state="visible" r:id="rId5"/>
    <sheet xmlns:r="http://schemas.openxmlformats.org/officeDocument/2006/relationships" name="Dívidas e Ôn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55555"/>
      <sz val="1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  <u val="single"/>
    </font>
    <font>
      <name val="Calibri"/>
      <b val="1"/>
      <color rgb="001B365D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4A90E2"/>
        <bgColor rgb="004A90E2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164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40" customHeight="1">
      <c r="A1" s="1" t="inlineStr">
        <is>
          <t>AGREGADOR DE DADOS - DECLARAÇÃO DE IMPOSTO DE RENDA 2026</t>
        </is>
      </c>
    </row>
    <row r="3">
      <c r="A3" s="2" t="inlineStr">
        <is>
          <t>Rendimentos Tributáveis</t>
        </is>
      </c>
      <c r="C3" s="2" t="inlineStr">
        <is>
          <t>Rendimentos Isentos/Exclusivos</t>
        </is>
      </c>
      <c r="E3" s="2" t="inlineStr">
        <is>
          <t>Despesas Dedutíveis</t>
        </is>
      </c>
    </row>
    <row r="4">
      <c r="A4" s="3">
        <f>SUM('Rendimentos'!E4:E20)</f>
        <v/>
      </c>
      <c r="C4" s="3">
        <f>SUM('Rendimentos'!F4:F20)</f>
        <v/>
      </c>
      <c r="E4" s="3">
        <f>SUM('Despesas Dedutíveis'!F4:F20)</f>
        <v/>
      </c>
    </row>
    <row r="6">
      <c r="A6" s="2" t="inlineStr">
        <is>
          <t>Total de Bens (31/12/2026)</t>
        </is>
      </c>
      <c r="C6" s="2" t="inlineStr">
        <is>
          <t>Variação Patrimonial</t>
        </is>
      </c>
      <c r="E6" s="2" t="inlineStr">
        <is>
          <t>Total Dívidas (31/12/2026)</t>
        </is>
      </c>
    </row>
    <row r="7">
      <c r="A7" s="3">
        <f>SUM('Bens e Direitos'!D4:D20)</f>
        <v/>
      </c>
      <c r="C7" s="3">
        <f>SUM('Bens e Direitos'!E4:E20)</f>
        <v/>
      </c>
      <c r="E7" s="3">
        <f>SUM('Dívidas e Ônus'!E4:E20)</f>
        <v/>
      </c>
    </row>
    <row r="10">
      <c r="A10" s="4" t="inlineStr">
        <is>
          <t>🔗 Links Rápidos e Utilidades Oficiais</t>
        </is>
      </c>
    </row>
    <row r="11">
      <c r="A11" s="5" t="inlineStr">
        <is>
          <t>Descrição / Serviço</t>
        </is>
      </c>
      <c r="C11" s="5" t="inlineStr">
        <is>
          <t>Endereço Web / Acesso Direto</t>
        </is>
      </c>
    </row>
    <row r="12">
      <c r="A12" s="6" t="inlineStr">
        <is>
          <t>Portal e-CAC (Receita Federal)</t>
        </is>
      </c>
      <c r="C12" s="7">
        <f>HYPERLINK("https://cav.receita.fazenda.gov.br/", "https://cav.receita.fazenda.gov.br/")</f>
        <v/>
      </c>
    </row>
    <row r="13">
      <c r="A13" s="6" t="inlineStr">
        <is>
          <t>Download do Programa IRPF 2026</t>
        </is>
      </c>
      <c r="C13" s="7">
        <f>HYPERLINK("https://www.gov.br/receitafederal/pt-br/assuntos/meu-imposto-de-renda", "https://www.gov.br/receitafederal/pt-br/assuntos/meu-imposto-de-renda")</f>
        <v/>
      </c>
    </row>
    <row r="14">
      <c r="A14" s="6" t="inlineStr">
        <is>
          <t>Consulta Restituição do IRPF</t>
        </is>
      </c>
      <c r="C14" s="7">
        <f>HYPERLINK("https://www.restituicao.receita.fazenda.gov.br/", "https://www.restituicao.receita.fazenda.gov.br/")</f>
        <v/>
      </c>
    </row>
    <row r="15">
      <c r="A15" s="6" t="inlineStr">
        <is>
          <t>Regularização e Situação do CPF</t>
        </is>
      </c>
      <c r="C15" s="7">
        <f>HYPERLINK("https://servicos.receita.fazenda.gov.br/Servicos/CPF/ConsultaSituacao/ConsultaPublica.asp", "https://servicos.receita.fazenda.gov.br/Servicos/CPF/ConsultaSituacao/ConsultaPublica.asp")</f>
        <v/>
      </c>
    </row>
  </sheetData>
  <mergeCells count="23">
    <mergeCell ref="C6:D6"/>
    <mergeCell ref="A15:B15"/>
    <mergeCell ref="A11:B11"/>
    <mergeCell ref="A6:B6"/>
    <mergeCell ref="C4:D4"/>
    <mergeCell ref="C13:F13"/>
    <mergeCell ref="E4:F4"/>
    <mergeCell ref="A7:B7"/>
    <mergeCell ref="C15:F15"/>
    <mergeCell ref="A3:B3"/>
    <mergeCell ref="C14:F14"/>
    <mergeCell ref="A12:B12"/>
    <mergeCell ref="E6:F6"/>
    <mergeCell ref="A1:G1"/>
    <mergeCell ref="A14:B14"/>
    <mergeCell ref="A4:B4"/>
    <mergeCell ref="C7:D7"/>
    <mergeCell ref="E7:F7"/>
    <mergeCell ref="C12:F12"/>
    <mergeCell ref="A13:B13"/>
    <mergeCell ref="C11:F11"/>
    <mergeCell ref="C3:D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30" customWidth="1" min="4" max="4"/>
  </cols>
  <sheetData>
    <row r="1" ht="35" customHeight="1">
      <c r="A1" s="1" t="inlineStr">
        <is>
          <t>CHECKLIST DE DOCUMENTOS DO IRPF 2026</t>
        </is>
      </c>
    </row>
    <row r="3" ht="25" customHeight="1">
      <c r="A3" s="8" t="inlineStr">
        <is>
          <t>Status</t>
        </is>
      </c>
      <c r="B3" s="8" t="inlineStr">
        <is>
          <t>Categoria do Documento</t>
        </is>
      </c>
      <c r="C3" s="8" t="inlineStr">
        <is>
          <t>Descrição do Documento / Comprovante</t>
        </is>
      </c>
      <c r="D3" s="8" t="inlineStr">
        <is>
          <t>Observações / Localização</t>
        </is>
      </c>
    </row>
    <row r="4" ht="20" customHeight="1">
      <c r="A4" s="9" t="inlineStr">
        <is>
          <t>Concluído</t>
        </is>
      </c>
      <c r="B4" s="10" t="inlineStr">
        <is>
          <t>Informes de Rendimento</t>
        </is>
      </c>
      <c r="C4" s="10" t="inlineStr">
        <is>
          <t>Informe de Rendimentos - Empresa X (CLT)</t>
        </is>
      </c>
      <c r="D4" s="10" t="inlineStr">
        <is>
          <t>Salvo em PDF / Drive</t>
        </is>
      </c>
    </row>
    <row r="5" ht="20" customHeight="1">
      <c r="A5" s="11" t="inlineStr">
        <is>
          <t>Concluído</t>
        </is>
      </c>
      <c r="B5" s="12" t="inlineStr">
        <is>
          <t>Informes de Rendimento</t>
        </is>
      </c>
      <c r="C5" s="12" t="inlineStr">
        <is>
          <t>Informe de Rendimentos - Banco Y (Contas e Investimentos)</t>
        </is>
      </c>
      <c r="D5" s="12" t="inlineStr">
        <is>
          <t>Coletado via Internet Banking</t>
        </is>
      </c>
    </row>
    <row r="6" ht="20" customHeight="1">
      <c r="A6" s="9" t="inlineStr">
        <is>
          <t>Concluído</t>
        </is>
      </c>
      <c r="B6" s="10" t="inlineStr">
        <is>
          <t>Comprovantes Médicos</t>
        </is>
      </c>
      <c r="C6" s="10" t="inlineStr">
        <is>
          <t>Recibos de Consultas Médicas - Dra. Ana (Dermatologia)</t>
        </is>
      </c>
      <c r="D6" s="10" t="inlineStr">
        <is>
          <t>Nota Fiscal nº 1042</t>
        </is>
      </c>
    </row>
    <row r="7" ht="20" customHeight="1">
      <c r="A7" s="11" t="inlineStr">
        <is>
          <t>Pendente</t>
        </is>
      </c>
      <c r="B7" s="12" t="inlineStr">
        <is>
          <t>Comprovantes Médicos</t>
        </is>
      </c>
      <c r="C7" s="12" t="inlineStr">
        <is>
          <t>Comprovante Plano de Saúde - Bradesco Saúde</t>
        </is>
      </c>
      <c r="D7" s="12" t="inlineStr">
        <is>
          <t>Aguardando informe anual</t>
        </is>
      </c>
    </row>
    <row r="8" ht="20" customHeight="1">
      <c r="A8" s="9" t="inlineStr">
        <is>
          <t>Concluído</t>
        </is>
      </c>
      <c r="B8" s="10" t="inlineStr">
        <is>
          <t>Comprovantes Escolares</t>
        </is>
      </c>
      <c r="C8" s="10" t="inlineStr">
        <is>
          <t>Comprovante Pós-Graduação / Faculdade</t>
        </is>
      </c>
      <c r="D8" s="10" t="inlineStr">
        <is>
          <t>Declaração anual baixada</t>
        </is>
      </c>
    </row>
    <row r="9" ht="20" customHeight="1">
      <c r="A9" s="11" t="inlineStr">
        <is>
          <t>Concluído</t>
        </is>
      </c>
      <c r="B9" s="12" t="inlineStr">
        <is>
          <t>Documentos de Bens</t>
        </is>
      </c>
      <c r="C9" s="12" t="inlineStr">
        <is>
          <t>Escritura / IPTU do Imóvel Residencial</t>
        </is>
      </c>
      <c r="D9" s="12" t="inlineStr">
        <is>
          <t>Matrícula 45.102</t>
        </is>
      </c>
    </row>
    <row r="10" ht="20" customHeight="1">
      <c r="A10" s="9" t="inlineStr">
        <is>
          <t>Concluído</t>
        </is>
      </c>
      <c r="B10" s="10" t="inlineStr">
        <is>
          <t>Documentos de Bens</t>
        </is>
      </c>
      <c r="C10" s="10" t="inlineStr">
        <is>
          <t>CRLV e Comprovante Compra do Veículo</t>
        </is>
      </c>
      <c r="D10" s="10" t="inlineStr">
        <is>
          <t>Certificado digital baixado</t>
        </is>
      </c>
    </row>
    <row r="11" ht="20" customHeight="1">
      <c r="A11" s="11" t="inlineStr">
        <is>
          <t>Pendente</t>
        </is>
      </c>
      <c r="B11" s="12" t="inlineStr">
        <is>
          <t>Informes de Investimentos</t>
        </is>
      </c>
      <c r="C11" s="12" t="inlineStr">
        <is>
          <t>Informe de Rendimentos - Corretora Z (Ações/FIIs)</t>
        </is>
      </c>
      <c r="D11" s="12" t="inlineStr">
        <is>
          <t>Aguardando disponibilização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35" customWidth="1" min="4" max="4"/>
    <col width="25" customWidth="1" min="5" max="5"/>
    <col width="28" customWidth="1" min="6" max="6"/>
    <col width="25" customWidth="1" min="7" max="7"/>
  </cols>
  <sheetData>
    <row r="1" ht="35" customHeight="1">
      <c r="A1" s="1" t="inlineStr">
        <is>
          <t>DECLARAÇÃO DE RENDIMENTOS RECEBIDOS</t>
        </is>
      </c>
    </row>
    <row r="3" ht="25" customHeight="1">
      <c r="A3" s="8" t="inlineStr">
        <is>
          <t>Categoria</t>
        </is>
      </c>
      <c r="B3" s="8" t="inlineStr">
        <is>
          <t>Fonte Pagadora</t>
        </is>
      </c>
      <c r="C3" s="8" t="inlineStr">
        <is>
          <t>CNPJ / CPF</t>
        </is>
      </c>
      <c r="D3" s="8" t="inlineStr">
        <is>
          <t>Descrição da Fonte</t>
        </is>
      </c>
      <c r="E3" s="8" t="inlineStr">
        <is>
          <t>Rendimento Tributável (R$)</t>
        </is>
      </c>
      <c r="F3" s="8" t="inlineStr">
        <is>
          <t>Rendimento Isento / Exclusivo (R$)</t>
        </is>
      </c>
      <c r="G3" s="8" t="inlineStr">
        <is>
          <t>Imposto Retido na Fonte (IRRF)</t>
        </is>
      </c>
    </row>
    <row r="4" ht="20" customHeight="1">
      <c r="A4" s="10" t="inlineStr">
        <is>
          <t>Tributável</t>
        </is>
      </c>
      <c r="B4" s="10" t="inlineStr">
        <is>
          <t>Empresa Comercial X Ltda</t>
        </is>
      </c>
      <c r="C4" s="10" t="inlineStr">
        <is>
          <t>12.345.678/0001-90</t>
        </is>
      </c>
      <c r="D4" s="10" t="inlineStr">
        <is>
          <t>Salário Anual / Pró-Labore</t>
        </is>
      </c>
      <c r="E4" s="13" t="n">
        <v>98500</v>
      </c>
      <c r="F4" s="13" t="n">
        <v>0</v>
      </c>
      <c r="G4" s="13" t="n">
        <v>14200</v>
      </c>
    </row>
    <row r="5" ht="20" customHeight="1">
      <c r="A5" s="12" t="inlineStr">
        <is>
          <t>Tributável</t>
        </is>
      </c>
      <c r="B5" s="12" t="inlineStr">
        <is>
          <t>Empresa Comercial X Ltda</t>
        </is>
      </c>
      <c r="C5" s="12" t="inlineStr">
        <is>
          <t>12.345.678/0001-90</t>
        </is>
      </c>
      <c r="D5" s="12" t="inlineStr">
        <is>
          <t>13º Salário (Exclusivo na Fonte)</t>
        </is>
      </c>
      <c r="E5" s="14" t="n">
        <v>0</v>
      </c>
      <c r="F5" s="14" t="n">
        <v>8200</v>
      </c>
      <c r="G5" s="14" t="n">
        <v>950</v>
      </c>
    </row>
    <row r="6" ht="20" customHeight="1">
      <c r="A6" s="10" t="inlineStr">
        <is>
          <t>Isento</t>
        </is>
      </c>
      <c r="B6" s="10" t="inlineStr">
        <is>
          <t>Banco Y S.A.</t>
        </is>
      </c>
      <c r="C6" s="10" t="inlineStr">
        <is>
          <t>98.765.432/0001-10</t>
        </is>
      </c>
      <c r="D6" s="10" t="inlineStr">
        <is>
          <t>Rendimentos de Caderneta de Poupança</t>
        </is>
      </c>
      <c r="E6" s="13" t="n">
        <v>0</v>
      </c>
      <c r="F6" s="13" t="n">
        <v>1450</v>
      </c>
      <c r="G6" s="13" t="n">
        <v>0</v>
      </c>
    </row>
    <row r="7" ht="20" customHeight="1">
      <c r="A7" s="12" t="inlineStr">
        <is>
          <t>Isento</t>
        </is>
      </c>
      <c r="B7" s="12" t="inlineStr">
        <is>
          <t>Receita Federal do Brasil</t>
        </is>
      </c>
      <c r="C7" s="12" t="inlineStr">
        <is>
          <t>00.000.000/0001-00</t>
        </is>
      </c>
      <c r="D7" s="12" t="inlineStr">
        <is>
          <t>Restituição IRPF Ano Anterior</t>
        </is>
      </c>
      <c r="E7" s="14" t="n">
        <v>0</v>
      </c>
      <c r="F7" s="14" t="n">
        <v>2100</v>
      </c>
      <c r="G7" s="14" t="n">
        <v>0</v>
      </c>
    </row>
    <row r="8" ht="20" customHeight="1">
      <c r="A8" s="10" t="inlineStr">
        <is>
          <t>Tributável</t>
        </is>
      </c>
      <c r="B8" s="10" t="inlineStr">
        <is>
          <t>Locatário - João da Silva</t>
        </is>
      </c>
      <c r="C8" s="10" t="inlineStr">
        <is>
          <t>123.456.789-00</t>
        </is>
      </c>
      <c r="D8" s="10" t="inlineStr">
        <is>
          <t>Aluguel Recebido de Imóvel Residencial</t>
        </is>
      </c>
      <c r="E8" s="13" t="n">
        <v>24000</v>
      </c>
      <c r="F8" s="13" t="n">
        <v>0</v>
      </c>
      <c r="G8" s="13" t="n">
        <v>0</v>
      </c>
    </row>
    <row r="9">
      <c r="D9" s="15" t="inlineStr">
        <is>
          <t>TOTAL:</t>
        </is>
      </c>
      <c r="E9" s="16">
        <f>SUM(E4:E8)</f>
        <v/>
      </c>
      <c r="F9" s="16">
        <f>SUM(F4:F8)</f>
        <v/>
      </c>
      <c r="G9" s="16">
        <f>SUM(G4:G8)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2" customWidth="1" min="3" max="3"/>
    <col width="22" customWidth="1" min="4" max="4"/>
    <col width="35" customWidth="1" min="5" max="5"/>
    <col width="20" customWidth="1" min="6" max="6"/>
  </cols>
  <sheetData>
    <row r="1" ht="35" customHeight="1">
      <c r="A1" s="1" t="inlineStr">
        <is>
          <t>DESPESAS DEDUTÍVEIS E COMPROVANTES</t>
        </is>
      </c>
    </row>
    <row r="3" ht="25" customHeight="1">
      <c r="A3" s="8" t="inlineStr">
        <is>
          <t>Categoria</t>
        </is>
      </c>
      <c r="B3" s="8" t="inlineStr">
        <is>
          <t>Beneficiário</t>
        </is>
      </c>
      <c r="C3" s="8" t="inlineStr">
        <is>
          <t>Prestador / Instituição</t>
        </is>
      </c>
      <c r="D3" s="8" t="inlineStr">
        <is>
          <t>CNPJ / CPF do Prestador</t>
        </is>
      </c>
      <c r="E3" s="8" t="inlineStr">
        <is>
          <t>Descrição da Despesa</t>
        </is>
      </c>
      <c r="F3" s="8" t="inlineStr">
        <is>
          <t>Valor Pago (R$)</t>
        </is>
      </c>
    </row>
    <row r="4" ht="20" customHeight="1">
      <c r="A4" s="10" t="inlineStr">
        <is>
          <t>Saúde</t>
        </is>
      </c>
      <c r="B4" s="10" t="inlineStr">
        <is>
          <t>Titular</t>
        </is>
      </c>
      <c r="C4" s="10" t="inlineStr">
        <is>
          <t>Clínica Médica Dermatológica Ltda</t>
        </is>
      </c>
      <c r="D4" s="10" t="inlineStr">
        <is>
          <t>11.222.333/0001-44</t>
        </is>
      </c>
      <c r="E4" s="10" t="inlineStr">
        <is>
          <t>Consultas e Exames Preventivos</t>
        </is>
      </c>
      <c r="F4" s="13" t="n">
        <v>1850</v>
      </c>
    </row>
    <row r="5" ht="20" customHeight="1">
      <c r="A5" s="12" t="inlineStr">
        <is>
          <t>Saúde</t>
        </is>
      </c>
      <c r="B5" s="12" t="inlineStr">
        <is>
          <t>Titular</t>
        </is>
      </c>
      <c r="C5" s="12" t="inlineStr">
        <is>
          <t>Bradesco Saúde S.A.</t>
        </is>
      </c>
      <c r="D5" s="12" t="inlineStr">
        <is>
          <t>00.528.243/0001-90</t>
        </is>
      </c>
      <c r="E5" s="12" t="inlineStr">
        <is>
          <t>Mensalidades Plano de Saúde Individual</t>
        </is>
      </c>
      <c r="F5" s="14" t="n">
        <v>8400</v>
      </c>
    </row>
    <row r="6" ht="20" customHeight="1">
      <c r="A6" s="10" t="inlineStr">
        <is>
          <t>Educação</t>
        </is>
      </c>
      <c r="B6" s="10" t="inlineStr">
        <is>
          <t>Titular</t>
        </is>
      </c>
      <c r="C6" s="10" t="inlineStr">
        <is>
          <t>Instituto de Ensino Superior ABC</t>
        </is>
      </c>
      <c r="D6" s="10" t="inlineStr">
        <is>
          <t>44.555.666/0001-77</t>
        </is>
      </c>
      <c r="E6" s="10" t="inlineStr">
        <is>
          <t>Pós-Graduação em Finanças</t>
        </is>
      </c>
      <c r="F6" s="13" t="n">
        <v>6900</v>
      </c>
    </row>
    <row r="7" ht="20" customHeight="1">
      <c r="A7" s="12" t="inlineStr">
        <is>
          <t>Previdência PGBL</t>
        </is>
      </c>
      <c r="B7" s="12" t="inlineStr">
        <is>
          <t>Titular</t>
        </is>
      </c>
      <c r="C7" s="12" t="inlineStr">
        <is>
          <t>Itaú Vida e Previdência S.A.</t>
        </is>
      </c>
      <c r="D7" s="12" t="inlineStr">
        <is>
          <t>61.157.942/0001-15</t>
        </is>
      </c>
      <c r="E7" s="12" t="inlineStr">
        <is>
          <t>Aporte Previdência Privada (PGBL)</t>
        </is>
      </c>
      <c r="F7" s="14" t="n">
        <v>5000</v>
      </c>
    </row>
    <row r="8" ht="20" customHeight="1">
      <c r="A8" s="10" t="inlineStr">
        <is>
          <t>Saúde</t>
        </is>
      </c>
      <c r="B8" s="10" t="inlineStr">
        <is>
          <t>Titular</t>
        </is>
      </c>
      <c r="C8" s="10" t="inlineStr">
        <is>
          <t>OdontoCare Clínica Odontológica</t>
        </is>
      </c>
      <c r="D8" s="10" t="inlineStr">
        <is>
          <t>22.333.444/0001-55</t>
        </is>
      </c>
      <c r="E8" s="10" t="inlineStr">
        <is>
          <t>Tratamento Odontológico / Aparelho</t>
        </is>
      </c>
      <c r="F8" s="13" t="n">
        <v>2200</v>
      </c>
    </row>
    <row r="9">
      <c r="E9" s="15" t="inlineStr">
        <is>
          <t>TOTAL:</t>
        </is>
      </c>
      <c r="F9" s="16">
        <f>SUM(F4:F8)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5" customWidth="1" min="3" max="3"/>
    <col width="25" customWidth="1" min="4" max="4"/>
    <col width="22" customWidth="1" min="5" max="5"/>
  </cols>
  <sheetData>
    <row r="1" ht="35" customHeight="1">
      <c r="A1" s="1" t="inlineStr">
        <is>
          <t>DECLARAÇÃO DE BENS E DIREITOS</t>
        </is>
      </c>
    </row>
    <row r="3" ht="25" customHeight="1">
      <c r="A3" s="8" t="inlineStr">
        <is>
          <t>Código / Grupo</t>
        </is>
      </c>
      <c r="B3" s="8" t="inlineStr">
        <is>
          <t>Discriminação e Descrição do Bem</t>
        </is>
      </c>
      <c r="C3" s="8" t="inlineStr">
        <is>
          <t>Situação em 31/12/2025 (R$)</t>
        </is>
      </c>
      <c r="D3" s="8" t="inlineStr">
        <is>
          <t>Situação em 31/12/2026 (R$)</t>
        </is>
      </c>
      <c r="E3" s="8" t="inlineStr">
        <is>
          <t>Variação No Ano (R$)</t>
        </is>
      </c>
    </row>
    <row r="4" ht="20" customHeight="1">
      <c r="A4" s="10" t="inlineStr">
        <is>
          <t>01 - Imóveis</t>
        </is>
      </c>
      <c r="B4" s="10" t="inlineStr">
        <is>
          <t>Apartamento Residencial 85m², R. das Flores, 123, Santo André - SP</t>
        </is>
      </c>
      <c r="C4" s="13" t="n">
        <v>350000</v>
      </c>
      <c r="D4" s="13" t="n">
        <v>375000</v>
      </c>
      <c r="E4" s="13">
        <f>D4-C4</f>
        <v/>
      </c>
    </row>
    <row r="5" ht="20" customHeight="1">
      <c r="A5" s="12" t="inlineStr">
        <is>
          <t>02 - Veículos</t>
        </is>
      </c>
      <c r="B5" s="12" t="inlineStr">
        <is>
          <t>Automóvel Sedan 2.0 Flex, Ano 2022, Placa ABC-1D23</t>
        </is>
      </c>
      <c r="C5" s="14" t="n">
        <v>85000</v>
      </c>
      <c r="D5" s="14" t="n">
        <v>85000</v>
      </c>
      <c r="E5" s="14">
        <f>D5-C5</f>
        <v/>
      </c>
    </row>
    <row r="6" ht="20" customHeight="1">
      <c r="A6" s="10" t="inlineStr">
        <is>
          <t>04 - Ações/Investimentos</t>
        </is>
      </c>
      <c r="B6" s="10" t="inlineStr">
        <is>
          <t>CDB Banco Y 100% CDI - Saldo de Aplicação de Renda Fixa</t>
        </is>
      </c>
      <c r="C6" s="13" t="n">
        <v>25000</v>
      </c>
      <c r="D6" s="13" t="n">
        <v>42000</v>
      </c>
      <c r="E6" s="13">
        <f>D6-C6</f>
        <v/>
      </c>
    </row>
    <row r="7" ht="20" customHeight="1">
      <c r="A7" s="12" t="inlineStr">
        <is>
          <t>06 - Contas Correntes</t>
        </is>
      </c>
      <c r="B7" s="12" t="inlineStr">
        <is>
          <t>Saldo em Conta Corrente - Banco Y S.A. Ag. 1234 C/C 56789-0</t>
        </is>
      </c>
      <c r="C7" s="14" t="n">
        <v>4200</v>
      </c>
      <c r="D7" s="14" t="n">
        <v>8900</v>
      </c>
      <c r="E7" s="14">
        <f>D7-C7</f>
        <v/>
      </c>
    </row>
    <row r="8">
      <c r="B8" s="15" t="inlineStr">
        <is>
          <t>TOTAL PATRIMONIAL:</t>
        </is>
      </c>
      <c r="C8" s="16">
        <f>SUM(C4:C7)</f>
        <v/>
      </c>
      <c r="D8" s="16">
        <f>SUM(D4:D7)</f>
        <v/>
      </c>
      <c r="E8" s="16">
        <f>SUM(E4:E7)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5" customWidth="1" min="4" max="4"/>
    <col width="25" customWidth="1" min="5" max="5"/>
    <col width="22" customWidth="1" min="6" max="6"/>
  </cols>
  <sheetData>
    <row r="1" ht="35" customHeight="1">
      <c r="A1" s="1" t="inlineStr">
        <is>
          <t>DÍVIDAS E ÔNUS REAIS</t>
        </is>
      </c>
    </row>
    <row r="3" ht="25" customHeight="1">
      <c r="A3" s="8" t="inlineStr">
        <is>
          <t>Categoria / Origem</t>
        </is>
      </c>
      <c r="B3" s="8" t="inlineStr">
        <is>
          <t>Credor / Instituição Financial</t>
        </is>
      </c>
      <c r="C3" s="8" t="inlineStr">
        <is>
          <t>CNPJ / CPF do Credor</t>
        </is>
      </c>
      <c r="D3" s="8" t="inlineStr">
        <is>
          <t>Situação em 31/12/2025 (R$)</t>
        </is>
      </c>
      <c r="E3" s="8" t="inlineStr">
        <is>
          <t>Situação em 31/12/2026 (R$)</t>
        </is>
      </c>
      <c r="F3" s="8" t="inlineStr">
        <is>
          <t>Valor Pago no Ano (R$)</t>
        </is>
      </c>
    </row>
    <row r="4" ht="20" customHeight="1">
      <c r="A4" s="10" t="inlineStr">
        <is>
          <t>Financiamento Imobiliário</t>
        </is>
      </c>
      <c r="B4" s="10" t="inlineStr">
        <is>
          <t>Caixa Econômica Federal</t>
        </is>
      </c>
      <c r="C4" s="10" t="inlineStr">
        <is>
          <t>00.360.305/0001-04</t>
        </is>
      </c>
      <c r="D4" s="13" t="n">
        <v>180000</v>
      </c>
      <c r="E4" s="13" t="n">
        <v>168000</v>
      </c>
      <c r="F4" s="13" t="n">
        <v>18400</v>
      </c>
    </row>
    <row r="5" ht="20" customHeight="1">
      <c r="A5" s="12" t="inlineStr">
        <is>
          <t>Empréstimo Pessoal</t>
        </is>
      </c>
      <c r="B5" s="12" t="inlineStr">
        <is>
          <t>Banco Y S.A.</t>
        </is>
      </c>
      <c r="C5" s="12" t="inlineStr">
        <is>
          <t>98.765.432/0001-10</t>
        </is>
      </c>
      <c r="D5" s="14" t="n">
        <v>12000</v>
      </c>
      <c r="E5" s="14" t="n">
        <v>0</v>
      </c>
      <c r="F5" s="14" t="n">
        <v>13500</v>
      </c>
    </row>
    <row r="6">
      <c r="C6" s="15" t="inlineStr">
        <is>
          <t>TOTAL:</t>
        </is>
      </c>
      <c r="D6" s="16">
        <f>SUM(D4:D5)</f>
        <v/>
      </c>
      <c r="E6" s="16">
        <f>SUM(E4:E5)</f>
        <v/>
      </c>
      <c r="F6" s="16">
        <f>SUM(F4:F5)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2026-10-18T03:19:15Z</dcterms:created>
  <dcterms:modified xmlns:dcterms="http://purl.org/dc/terms/" xmlns:xsi="http://www.w3.org/2001/XMLSchema-instance" xsi:type="dcterms:W3CDTF">2026-10-18T03:19:15Z</dcterms:modified>
</cp:coreProperties>
</file>